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1"/>
  </bookViews>
  <sheets>
    <sheet name="Tổng quan Dashboard" sheetId="1" r:id="rId1"/>
    <sheet name="Độ bao phủ tính năng" sheetId="2" r:id="rId2"/>
    <sheet name="Phân tích lỗi (Bugs)" sheetId="3" r:id="rId3"/>
    <sheet name="Năng suất Thành viên" sheetId="4" r:id="rId4"/>
    <sheet name="Nhân lực" sheetId="5" r:id="rId5"/>
    <sheet name="Tài nguyên" sheetId="6" r:id="rId6"/>
    <sheet name="Đánh giá hiệu quả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<sst xmlns="http://schemas.openxmlformats.org/spreadsheetml/2006/main" count="108" uniqueCount="104">
  <si>
    <t>BÁO CÁO TỔNG KẾT QUÁ TRÌNH KIỂM THỬ (TEST SUMMARY REPORT)</t>
  </si>
  <si>
    <t>Dự án: Hệ thống Thương mại Điện tử SweetBaker | Học phần: Kiểm định phần mềm</t>
  </si>
  <si>
    <t>Phiên bản: Release 1.0</t>
  </si>
  <si>
    <t>Ngày lập báo cáo:</t>
  </si>
  <si>
    <t>04/06/2026</t>
  </si>
  <si>
    <t>Tổng số kịch bản:</t>
  </si>
  <si>
    <t>Người thực hiện:</t>
  </si>
  <si>
    <t>Đặng Thành Thi (Nhóm trưởng)</t>
  </si>
  <si>
    <t>Kịch bản đã chạy:</t>
  </si>
  <si>
    <t>Trạng thái phát hành:</t>
  </si>
  <si>
    <t>Sẵn sàng Go-Live</t>
  </si>
  <si>
    <t>Tỷ lệ Đạt yêu cầu:</t>
  </si>
  <si>
    <t>Môi trường chính:</t>
  </si>
  <si>
    <t>Local IIS Express &amp; SQL LocalDB</t>
  </si>
  <si>
    <t>Tổng số lỗi (Bugs):</t>
  </si>
  <si>
    <t>Tóm tắt kết quả kiểm thử kịch bản</t>
  </si>
  <si>
    <t>Trạng thái kịch bản</t>
  </si>
  <si>
    <t>Số lượng</t>
  </si>
  <si>
    <t>Đạt (Pass)</t>
  </si>
  <si>
    <t>Lỗi (Fail)</t>
  </si>
  <si>
    <t>CHI TIẾT ĐỘ BAO PHỦ TÍNH NĂNG THEO PHÂN HỆ</t>
  </si>
  <si>
    <t>Phân hệ (Module)</t>
  </si>
  <si>
    <t>Tổng số kịch bản</t>
  </si>
  <si>
    <t>Tỷ lệ Đạt</t>
  </si>
  <si>
    <t>Đánh giá QA</t>
  </si>
  <si>
    <t>Đăng ký &amp; Đăng nhập</t>
  </si>
  <si>
    <t>Chức năng Khách hàng</t>
  </si>
  <si>
    <t>Quản lý Admin</t>
  </si>
  <si>
    <t>Tổng cộng</t>
  </si>
  <si>
    <t/>
  </si>
  <si>
    <t>PHÂN LOẠI BUG &amp; TIẾN ĐỘ XỬ LÝ THEO MỨC ĐỘ NGHIÊM TRỌNG</t>
  </si>
  <si>
    <t>Mức độ nghiêm trọng</t>
  </si>
  <si>
    <t>Phát hiện</t>
  </si>
  <si>
    <t>Đã đóng (Closed)</t>
  </si>
  <si>
    <t>Còn mở (Open)</t>
  </si>
  <si>
    <t>Tỷ lệ xử lý</t>
  </si>
  <si>
    <t>Blocker (Tối nghiêm trọng)</t>
  </si>
  <si>
    <t>Critical (Nặng)</t>
  </si>
  <si>
    <t>Major / Medium (Trung bình)</t>
  </si>
  <si>
    <t>Minor / Low (Nhỏ)</t>
  </si>
  <si>
    <t>BÁO CÁO THEO DÕI MỨC ĐỘ HOÀN THÀNH &amp; HIỆU SUẤT ĐỘI NGŨ QA</t>
  </si>
  <si>
    <t>Họ và Tên Tester</t>
  </si>
  <si>
    <t>Kịch bản Giao (Assigned)</t>
  </si>
  <si>
    <t>Đã thực hiện (Executed)</t>
  </si>
  <si>
    <t>Còn lại (Pending)</t>
  </si>
  <si>
    <t>Số lỗi phát hiện (Bugs Found)</t>
  </si>
  <si>
    <t>Mật độ Bug / Testcase</t>
  </si>
  <si>
    <t>Mức độ hoàn thành</t>
  </si>
  <si>
    <t>Trần Hữu Phát (Tester)</t>
  </si>
  <si>
    <t>Phạm Thanh Huy (Tester)</t>
  </si>
  <si>
    <t>Trần Xuân Hướng (Tester)</t>
  </si>
  <si>
    <t>Tổng số Đội ngũ</t>
  </si>
  <si>
    <t>THỐNG KÊ PHÂN BỔ NHÂN LỰC &amp; CÔNG NHẬT</t>
  </si>
  <si>
    <t>Vai trò (Role)</t>
  </si>
  <si>
    <t>Số lượng nhân sự</t>
  </si>
  <si>
    <t>Công nhật thực tế (Man-days)</t>
  </si>
  <si>
    <t>QA Lead / Nhóm trưởng</t>
  </si>
  <si>
    <t>Lập kế hoạch, thiết kế kịch bản, chạy thử, tổng hợp báo cáo</t>
  </si>
  <si>
    <t>QA Tester / Thành viên</t>
  </si>
  <si>
    <t>Thực hiện chạy thử kịch bản, ghi nhận lỗi, tái kiểm thử và kiểm thử hồi quy</t>
  </si>
  <si>
    <t>Tổng cộng lực lượng tiêu hao</t>
  </si>
  <si>
    <t>QUẢN LÝ TÀI NGUYÊN &amp; MÔI TRƯỜNG PHẦN CỨNG</t>
  </si>
  <si>
    <t>Tên tài nguyên</t>
  </si>
  <si>
    <t>Cấu hình hạ tầng</t>
  </si>
  <si>
    <t>Mục đích sử dụng</t>
  </si>
  <si>
    <t>Trạng thái thu hồi</t>
  </si>
  <si>
    <t>Web Application Server</t>
  </si>
  <si>
    <t>Microsoft IIS Express 10.0 (Tích hợp VS)</t>
  </si>
  <si>
    <t>Chạy ứng dụng ASP.NET Core MVC (SweetBaker)</t>
  </si>
  <si>
    <t>Giữ nguyên phục vụ Debug/Hotfix</t>
  </si>
  <si>
    <t>Database Test Server</t>
  </si>
  <si>
    <t>Microsoft SQL Server LocalDB (V13.0)</t>
  </si>
  <si>
    <t>Lưu trữ dữ liệu mẫu của cửa hàng (Sản phẩm, Khách hàng, Đơn hàng)</t>
  </si>
  <si>
    <t>Đã sao lưu (Backup) &amp; Đóng gói</t>
  </si>
  <si>
    <t>Client Browser Testing</t>
  </si>
  <si>
    <t>Google Chrome, Microsoft Edge, Safari (macOS)</t>
  </si>
  <si>
    <t>Môi trường chạy thử giao diện &amp; kiểm thử chức năng</t>
  </si>
  <si>
    <t>Không áp dụng thu hồi</t>
  </si>
  <si>
    <t>ĐÁNH GIÁ HIỆU QUẢ SỬ DỤNG</t>
  </si>
  <si>
    <t>Chỉ số đánh giá chính (KPIs)</t>
  </si>
  <si>
    <t>Kế hoạch / Mục tiêu</t>
  </si>
  <si>
    <t>Thực tế vận hành</t>
  </si>
  <si>
    <t>Mức độ tối ưu / Tăng trưởng</t>
  </si>
  <si>
    <t>Đánh giá chiến lược</t>
  </si>
  <si>
    <t>Thời gian đặt hàng và xử lý đơn hàng</t>
  </si>
  <si>
    <t>Tối đa &lt; 5 phút</t>
  </si>
  <si>
    <t>Thực tế: ~ 1 phút</t>
  </si>
  <si>
    <t>Tối ưu hóa tốc độ giao dịch</t>
  </si>
  <si>
    <t>Người dùng phản hồi rất nhanh và dễ thao tác</t>
  </si>
  <si>
    <t>Thời gian tải trang chủ &amp; hiển thị sản phẩm</t>
  </si>
  <si>
    <t>Tối đa &lt; 3 giây</t>
  </si>
  <si>
    <t>Thực tế: ~ 1.5 giây</t>
  </si>
  <si>
    <t>Giảm thiểu 50% thời gian tải</t>
  </si>
  <si>
    <t>Trải nghiệm mượt mà, phản hồi AJAX tốt</t>
  </si>
  <si>
    <t>Tỷ lệ lỗi nghiêm trọng trên Production</t>
  </si>
  <si>
    <t>0 lỗi Blocker/Critical</t>
  </si>
  <si>
    <t>Thực tế: 0 lỗi</t>
  </si>
  <si>
    <t>Đạt 100% mục tiêu bảo mật</t>
  </si>
  <si>
    <t>Hệ thống chạy ổn định và an toàn</t>
  </si>
  <si>
    <t>Điểm số hài lòng của khách hàng (CSAT)</t>
  </si>
  <si>
    <t>Mục tiêu đạt &gt; 4.2 / 5.0</t>
  </si>
  <si>
    <t>4.6 / 5.0 điểm</t>
  </si>
  <si>
    <t>Tăng +0.4 điểm so với kỳ vọng</t>
  </si>
  <si>
    <t>Giao diện bắt mắt, giỏ hàng trực quan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</si>
</sst>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7">
    <font>
      <sz val="11"/>
      <color theme="1"/>
      <name val="Calibri"/>
      <charset val="134"/>
      <scheme val="minor"/>
    </font>
    <font>
      <b/>
      <sz val="12"/>
      <color rgb="FF203A43"/>
      <name val="Segoe UI"/>
      <charset val="134"/>
    </font>
    <font>
      <b/>
      <sz val="11"/>
      <color rgb="FFFFFFFF"/>
      <name val="Segoe UI"/>
      <charset val="134"/>
    </font>
    <font>
      <b/>
      <sz val="11"/>
      <color rgb="FF000000"/>
      <name val="Segoe UI"/>
      <charset val="134"/>
    </font>
    <font>
      <sz val="11"/>
      <color rgb="FF000000"/>
      <name val="Segoe UI"/>
      <charset val="134"/>
    </font>
    <font>
      <b/>
      <sz val="16"/>
      <color rgb="FF0F2027"/>
      <name val="Segoe UI"/>
      <charset val="134"/>
    </font>
    <font>
      <i/>
      <sz val="10"/>
      <color rgb="FF555555"/>
      <name val="Segoe UI"/>
      <charset val="134"/>
    </font>
    <font>
      <b/>
      <sz val="1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C4D"/>
        <bgColor rgb="FF1F3C4D"/>
      </patternFill>
    </fill>
    <fill>
      <patternFill patternType="solid">
        <fgColor rgb="FFD4EDDA"/>
        <bgColor rgb="FFD4EDDA"/>
      </patternFill>
    </fill>
    <fill>
      <patternFill patternType="solid">
        <fgColor rgb="FF3282B8"/>
        <bgColor rgb="FF3282B8"/>
      </patternFill>
    </fill>
    <fill>
      <patternFill patternType="solid">
        <fgColor rgb="FFEBF4FA"/>
        <bgColor rgb="FFEBF4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CCCCCC"/>
      </top>
      <bottom style="double">
        <color rgb="FF1F3C4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7" borderId="6">
      <alignment vertical="center"/>
    </xf>
    <xf numFmtId="0" fontId="17" fillId="8" borderId="7">
      <alignment vertical="center"/>
    </xf>
    <xf numFmtId="0" fontId="18" fillId="8" borderId="6">
      <alignment vertical="center"/>
    </xf>
    <xf numFmtId="0" fontId="19" fillId="9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2" fillId="4" borderId="0" xfId="0" applyFont="1" applyFill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3" fillId="5" borderId="2" xfId="0" applyFont="1" applyFill="1" applyBorder="1"/>
    <xf numFmtId="0" fontId="0" fillId="5" borderId="2" xfId="0" applyFill="1" applyBorder="1"/>
    <xf numFmtId="2" fontId="0" fillId="0" borderId="1" xfId="0" applyNumberFormat="1" applyBorder="1" applyAlignment="1">
      <alignment horizontal="right" vertical="center"/>
    </xf>
    <xf numFmtId="178" fontId="0" fillId="3" borderId="1" xfId="0" applyNumberFormat="1" applyFill="1" applyBorder="1" applyAlignment="1">
      <alignment horizontal="center" vertical="center"/>
    </xf>
    <xf numFmtId="2" fontId="3" fillId="5" borderId="2" xfId="0" applyNumberFormat="1" applyFont="1" applyFill="1" applyBorder="1"/>
    <xf numFmtId="178" fontId="3" fillId="5" borderId="2" xfId="0" applyNumberFormat="1" applyFont="1" applyFill="1" applyBorder="1"/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178" fontId="3" fillId="3" borderId="0" xfId="0" applyNumberFormat="1" applyFont="1" applyFill="1"/>
    <xf numFmtId="3" fontId="4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Tỷ lệ Đạt / Lỗi kịch bản kiểm thử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'Tổng quan Dashboard'!$C$11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'Tổng quan Dashboard'!$B$12:$B$13</c:f>
              <c:strCache>
                <c:ptCount val="2"/>
                <c:pt idx="0">
                  <c:v>Đạt (Pass)</c:v>
                </c:pt>
                <c:pt idx="1">
                  <c:v>Lỗi (Fail)</c:v>
                </c:pt>
              </c:strCache>
            </c:strRef>
          </c:cat>
          <c:val>
            <c:numRef>
              <c:f>'Tổng quan Dashboard'!$C$12:$C$13</c:f>
              <c:numCache>
                <c:formatCode>#,##0</c:formatCode>
                <c:ptCount val="2"/>
                <c:pt idx="0">
                  <c:v>182</c:v>
                </c:pt>
                <c:pt idx="1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a8197f-e758-4aa7-83c3-86ccd5ce12f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Phân tích kết quả kịch bản theo Phân hệ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'Độ bao phủ tính năng'!$D$4</c:f>
              <c:strCache>
                <c:ptCount val="1"/>
                <c:pt idx="0">
                  <c:v>Đạt (Pass)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'Độ bao phủ tính năng'!$B$5:$B$8</c:f>
              <c:strCache>
                <c:ptCount val="4"/>
                <c:pt idx="0">
                  <c:v>Đăng ký &amp; Đăng nhập</c:v>
                </c:pt>
                <c:pt idx="1">
                  <c:v>Chức năng Khách hàng</c:v>
                </c:pt>
                <c:pt idx="2">
                  <c:v>Quản lý Admin</c:v>
                </c:pt>
                <c:pt idx="3">
                  <c:v>Tổng cộng</c:v>
                </c:pt>
              </c:strCache>
            </c:strRef>
          </c:cat>
          <c:val>
            <c:numRef>
              <c:f>'Độ bao phủ tính năng'!$D$5:$D$8</c:f>
              <c:numCache>
                <c:formatCode>#,##0</c:formatCode>
                <c:ptCount val="4"/>
                <c:pt idx="0">
                  <c:v>34</c:v>
                </c:pt>
                <c:pt idx="1">
                  <c:v>87</c:v>
                </c:pt>
                <c:pt idx="2">
                  <c:v>61</c:v>
                </c:pt>
                <c:pt idx="3" c:formatCode="General">
                  <c:v>182</c:v>
                </c:pt>
              </c:numCache>
            </c:numRef>
          </c:val>
        </c:ser>
        <c:ser>
          <c:idx val="1"/>
          <c:order val="1"/>
          <c:tx>
            <c:strRef>
              <c:f>'Độ bao phủ tính năng'!$E$4</c:f>
              <c:strCache>
                <c:ptCount val="1"/>
                <c:pt idx="0">
                  <c:v>Lỗi (Fail)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'Độ bao phủ tính năng'!$B$5:$B$8</c:f>
              <c:strCache>
                <c:ptCount val="4"/>
                <c:pt idx="0">
                  <c:v>Đăng ký &amp; Đăng nhập</c:v>
                </c:pt>
                <c:pt idx="1">
                  <c:v>Chức năng Khách hàng</c:v>
                </c:pt>
                <c:pt idx="2">
                  <c:v>Quản lý Admin</c:v>
                </c:pt>
                <c:pt idx="3">
                  <c:v>Tổng cộng</c:v>
                </c:pt>
              </c:strCache>
            </c:strRef>
          </c:cat>
          <c:val>
            <c:numRef>
              <c:f>'Độ bao phủ tính năng'!$E$5:$E$8</c:f>
              <c:numCache>
                <c:formatCode>#,##0</c:formatCode>
                <c:ptCount val="4"/>
                <c:pt idx="0">
                  <c:v>15</c:v>
                </c:pt>
                <c:pt idx="1">
                  <c:v>7</c:v>
                </c:pt>
                <c:pt idx="2">
                  <c:v>8</c:v>
                </c:pt>
                <c:pt idx="3" c:formatCode="General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2bda8f-df20-4e25-8c1f-93d589f138c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Độ bao phủ tính năng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'Độ bao phủ tính năng'!$C$4</c:f>
              <c:strCache>
                <c:ptCount val="1"/>
                <c:pt idx="0">
                  <c:v>Tổng số kịch bản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'Độ bao phủ tính năng'!$B$5:$B$7</c:f>
              <c:strCache>
                <c:ptCount val="3"/>
                <c:pt idx="0">
                  <c:v>Đăng ký &amp; Đăng nhập</c:v>
                </c:pt>
                <c:pt idx="1">
                  <c:v>Chức năng Khách hàng</c:v>
                </c:pt>
                <c:pt idx="2">
                  <c:v>Quản lý Admin</c:v>
                </c:pt>
              </c:strCache>
            </c:strRef>
          </c:cat>
          <c:val>
            <c:numRef>
              <c:f>'Độ bao phủ tính năng'!$C$5:$C$7</c:f>
              <c:numCache>
                <c:formatCode>#,##0</c:formatCode>
                <c:ptCount val="3"/>
                <c:pt idx="0">
                  <c:v>49</c:v>
                </c:pt>
                <c:pt idx="1">
                  <c:v>94</c:v>
                </c:pt>
                <c:pt idx="2">
                  <c:v>69</c:v>
                </c:pt>
              </c:numCache>
            </c:numRef>
          </c:val>
        </c:ser>
        <c:ser>
          <c:idx val="1"/>
          <c:order val="1"/>
          <c:tx>
            <c:strRef>
              <c:f>'Độ bao phủ tính năng'!$D$4</c:f>
              <c:strCache>
                <c:ptCount val="1"/>
                <c:pt idx="0">
                  <c:v>Đạt (Pass)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'Độ bao phủ tính năng'!$B$5:$B$7</c:f>
              <c:strCache>
                <c:ptCount val="3"/>
                <c:pt idx="0">
                  <c:v>Đăng ký &amp; Đăng nhập</c:v>
                </c:pt>
                <c:pt idx="1">
                  <c:v>Chức năng Khách hàng</c:v>
                </c:pt>
                <c:pt idx="2">
                  <c:v>Quản lý Admin</c:v>
                </c:pt>
              </c:strCache>
            </c:strRef>
          </c:cat>
          <c:val>
            <c:numRef>
              <c:f>'Độ bao phủ tính năng'!$D$5:$D$7</c:f>
              <c:numCache>
                <c:formatCode>#,##0</c:formatCode>
                <c:ptCount val="3"/>
                <c:pt idx="0">
                  <c:v>34</c:v>
                </c:pt>
                <c:pt idx="1">
                  <c:v>87</c:v>
                </c:pt>
                <c:pt idx="2">
                  <c:v>61</c:v>
                </c:pt>
              </c:numCache>
            </c:numRef>
          </c:val>
        </c:ser>
        <c:ser>
          <c:idx val="2"/>
          <c:order val="2"/>
          <c:tx>
            <c:strRef>
              <c:f>'Độ bao phủ tính năng'!$E$4</c:f>
              <c:strCache>
                <c:ptCount val="1"/>
                <c:pt idx="0">
                  <c:v>Lỗi (Fail)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'Độ bao phủ tính năng'!$B$5:$B$7</c:f>
              <c:strCache>
                <c:ptCount val="3"/>
                <c:pt idx="0">
                  <c:v>Đăng ký &amp; Đăng nhập</c:v>
                </c:pt>
                <c:pt idx="1">
                  <c:v>Chức năng Khách hàng</c:v>
                </c:pt>
                <c:pt idx="2">
                  <c:v>Quản lý Admin</c:v>
                </c:pt>
              </c:strCache>
            </c:strRef>
          </c:cat>
          <c:val>
            <c:numRef>
              <c:f>'Độ bao phủ tính năng'!$E$5:$E$7</c:f>
              <c:numCache>
                <c:formatCode>#,##0</c:formatCode>
                <c:ptCount val="3"/>
                <c:pt idx="0">
                  <c:v>15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Phân hệ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Số lượng TC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88dda2-645b-4558-941f-4679a7479aa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Tiến độ khắc phục lỗi (Defect Status)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'Phân tích lỗi (Bugs)'!$D$4</c:f>
              <c:strCache>
                <c:ptCount val="1"/>
                <c:pt idx="0">
                  <c:v>Đã đóng (Closed)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'Phân tích lỗi (Bugs)'!$B$5:$B$8</c:f>
              <c:strCache>
                <c:ptCount val="4"/>
                <c:pt idx="0">
                  <c:v>Blocker (Tối nghiêm trọng)</c:v>
                </c:pt>
                <c:pt idx="1">
                  <c:v>Critical (Nặng)</c:v>
                </c:pt>
                <c:pt idx="2">
                  <c:v>Major / Medium (Trung bình)</c:v>
                </c:pt>
                <c:pt idx="3">
                  <c:v>Minor / Low (Nhỏ)</c:v>
                </c:pt>
              </c:strCache>
            </c:strRef>
          </c:cat>
          <c:val>
            <c:numRef>
              <c:f>'Phân tích lỗi (Bugs)'!$D$5:$D$8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'Phân tích lỗi (Bugs)'!$E$4</c:f>
              <c:strCache>
                <c:ptCount val="1"/>
                <c:pt idx="0">
                  <c:v>Còn mở (Open)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'Phân tích lỗi (Bugs)'!$B$5:$B$8</c:f>
              <c:strCache>
                <c:ptCount val="4"/>
                <c:pt idx="0">
                  <c:v>Blocker (Tối nghiêm trọng)</c:v>
                </c:pt>
                <c:pt idx="1">
                  <c:v>Critical (Nặng)</c:v>
                </c:pt>
                <c:pt idx="2">
                  <c:v>Major / Medium (Trung bình)</c:v>
                </c:pt>
                <c:pt idx="3">
                  <c:v>Minor / Low (Nhỏ)</c:v>
                </c:pt>
              </c:strCache>
            </c:strRef>
          </c:cat>
          <c:val>
            <c:numRef>
              <c:f>'Phân tích lỗi (Bugs)'!$E$5:$E$8</c:f>
              <c:numCache>
                <c:formatCode>#,##0</c:formatCode>
                <c:ptCount val="4"/>
                <c:pt idx="0">
                  <c:v>0</c:v>
                </c:pt>
                <c:pt idx="1">
                  <c:v>6</c:v>
                </c:pt>
                <c:pt idx="2">
                  <c:v>24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1217ab-78db-4458-9651-40065e94b3f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Phân bổ lỗi theo Mức độ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'Phân tích lỗi (Bugs)'!$B$6:$B$7</c:f>
              <c:strCache>
                <c:ptCount val="2"/>
                <c:pt idx="0">
                  <c:v>Critical (Nặng)</c:v>
                </c:pt>
                <c:pt idx="1">
                  <c:v>Major / Medium (Trung bình)</c:v>
                </c:pt>
              </c:strCache>
            </c:strRef>
          </c:cat>
          <c:val>
            <c:numRef>
              <c:f>'Phân tích lỗi (Bugs)'!$C$5:$C$8</c:f>
              <c:numCache>
                <c:formatCode>#,##0</c:formatCode>
                <c:ptCount val="4"/>
                <c:pt idx="0">
                  <c:v>0</c:v>
                </c:pt>
                <c:pt idx="1">
                  <c:v>6</c:v>
                </c:pt>
                <c:pt idx="2">
                  <c:v>24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7eb371-2107-4643-b898-73bf84d6cba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So sánh Khối lượng Giao vs Đã thực hiện</a:t>
            </a:r>
            <a:endParaRPr lang="vi-V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'Năng suất Thành viên'!$C$4</c:f>
              <c:strCache>
                <c:ptCount val="1"/>
                <c:pt idx="0">
                  <c:v>Kịch bản Giao (Assigned)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'Năng suất Thành viên'!$B$5:$B$7</c:f>
              <c:strCache>
                <c:ptCount val="3"/>
                <c:pt idx="0">
                  <c:v>Trần Hữu Phát (Tester)</c:v>
                </c:pt>
                <c:pt idx="1">
                  <c:v>Phạm Thanh Huy (Tester)</c:v>
                </c:pt>
                <c:pt idx="2">
                  <c:v>Trần Xuân Hướng (Tester)</c:v>
                </c:pt>
              </c:strCache>
            </c:strRef>
          </c:cat>
          <c:val>
            <c:numRef>
              <c:f>'Năng suất Thành viên'!$C$5:$C$7</c:f>
              <c:numCache>
                <c:formatCode>#,##0</c:formatCode>
                <c:ptCount val="3"/>
                <c:pt idx="0">
                  <c:v>53</c:v>
                </c:pt>
                <c:pt idx="1">
                  <c:v>53</c:v>
                </c:pt>
                <c:pt idx="2">
                  <c:v>53</c:v>
                </c:pt>
              </c:numCache>
            </c:numRef>
          </c:val>
        </c:ser>
        <c:ser>
          <c:idx val="1"/>
          <c:order val="1"/>
          <c:tx>
            <c:strRef>
              <c:f>'Năng suất Thành viên'!$D$4</c:f>
              <c:strCache>
                <c:ptCount val="1"/>
                <c:pt idx="0">
                  <c:v>Đã thực hiện (Executed)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'Năng suất Thành viên'!$B$5:$B$7</c:f>
              <c:strCache>
                <c:ptCount val="3"/>
                <c:pt idx="0">
                  <c:v>Trần Hữu Phát (Tester)</c:v>
                </c:pt>
                <c:pt idx="1">
                  <c:v>Phạm Thanh Huy (Tester)</c:v>
                </c:pt>
                <c:pt idx="2">
                  <c:v>Trần Xuân Hướng (Tester)</c:v>
                </c:pt>
              </c:strCache>
            </c:strRef>
          </c:cat>
          <c:val>
            <c:numRef>
              <c:f>'Năng suất Thành viên'!$D$5:$D$7</c:f>
              <c:numCache>
                <c:formatCode>#,##0</c:formatCode>
                <c:ptCount val="3"/>
                <c:pt idx="0">
                  <c:v>53</c:v>
                </c:pt>
                <c:pt idx="1">
                  <c:v>53</c:v>
                </c:pt>
                <c:pt idx="2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Số lượng Test Cases</a:t>
                </a:r>
                <a:endParaRPr lang="vi-VN"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8ebbde-7a00-4aaa-98af-d5154d8ad9f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Năng suất &amp; Lỗi phát hiện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'Năng suất Thành viên'!$C$4</c:f>
              <c:strCache>
                <c:ptCount val="1"/>
                <c:pt idx="0">
                  <c:v>Kịch bản Giao (Assigned)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'Năng suất Thành viên'!$B$5:$B$8</c:f>
              <c:strCache>
                <c:ptCount val="4"/>
                <c:pt idx="0">
                  <c:v>Trần Hữu Phát (Tester)</c:v>
                </c:pt>
                <c:pt idx="1">
                  <c:v>Phạm Thanh Huy (Tester)</c:v>
                </c:pt>
                <c:pt idx="2">
                  <c:v>Trần Xuân Hướng (Tester)</c:v>
                </c:pt>
                <c:pt idx="3">
                  <c:v>Đặng Thành Thi (Nhóm trưởng)</c:v>
                </c:pt>
              </c:strCache>
            </c:strRef>
          </c:cat>
          <c:val>
            <c:numRef>
              <c:f>'Năng suất Thành viên'!$C$5:$C$8</c:f>
              <c:numCache>
                <c:formatCode>#,##0</c:formatCode>
                <c:ptCount val="4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</c:numCache>
            </c:numRef>
          </c:val>
        </c:ser>
        <c:ser>
          <c:idx val="1"/>
          <c:order val="1"/>
          <c:tx>
            <c:strRef>
              <c:f>'Năng suất Thành viên'!$D$4</c:f>
              <c:strCache>
                <c:ptCount val="1"/>
                <c:pt idx="0">
                  <c:v>Đã thực hiện (Executed)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'Năng suất Thành viên'!$B$5:$B$8</c:f>
              <c:strCache>
                <c:ptCount val="4"/>
                <c:pt idx="0">
                  <c:v>Trần Hữu Phát (Tester)</c:v>
                </c:pt>
                <c:pt idx="1">
                  <c:v>Phạm Thanh Huy (Tester)</c:v>
                </c:pt>
                <c:pt idx="2">
                  <c:v>Trần Xuân Hướng (Tester)</c:v>
                </c:pt>
                <c:pt idx="3">
                  <c:v>Đặng Thành Thi (Nhóm trưởng)</c:v>
                </c:pt>
              </c:strCache>
            </c:strRef>
          </c:cat>
          <c:val>
            <c:numRef>
              <c:f>'Năng suất Thành viên'!$D$5:$D$8</c:f>
              <c:numCache>
                <c:formatCode>#,##0</c:formatCode>
                <c:ptCount val="4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</c:numCache>
            </c:numRef>
          </c:val>
        </c:ser>
        <c:ser>
          <c:idx val="2"/>
          <c:order val="2"/>
          <c:tx>
            <c:strRef>
              <c:f>'Năng suất Thành viên'!$E$4</c:f>
              <c:strCache>
                <c:ptCount val="1"/>
                <c:pt idx="0">
                  <c:v>Còn lại (Pending)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'Năng suất Thành viên'!$B$5:$B$8</c:f>
              <c:strCache>
                <c:ptCount val="4"/>
                <c:pt idx="0">
                  <c:v>Trần Hữu Phát (Tester)</c:v>
                </c:pt>
                <c:pt idx="1">
                  <c:v>Phạm Thanh Huy (Tester)</c:v>
                </c:pt>
                <c:pt idx="2">
                  <c:v>Trần Xuân Hướng (Tester)</c:v>
                </c:pt>
                <c:pt idx="3">
                  <c:v>Đặng Thành Thi (Nhóm trưởng)</c:v>
                </c:pt>
              </c:strCache>
            </c:strRef>
          </c:cat>
          <c:val>
            <c:numRef>
              <c:f>'Năng suất Thành viên'!$E$5:$E$8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'Năng suất Thành viên'!$F$4</c:f>
              <c:strCache>
                <c:ptCount val="1"/>
                <c:pt idx="0">
                  <c:v>Số lỗi phát hiện (Bugs Found)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'Năng suất Thành viên'!$B$5:$B$8</c:f>
              <c:strCache>
                <c:ptCount val="4"/>
                <c:pt idx="0">
                  <c:v>Trần Hữu Phát (Tester)</c:v>
                </c:pt>
                <c:pt idx="1">
                  <c:v>Phạm Thanh Huy (Tester)</c:v>
                </c:pt>
                <c:pt idx="2">
                  <c:v>Trần Xuân Hướng (Tester)</c:v>
                </c:pt>
                <c:pt idx="3">
                  <c:v>Đặng Thành Thi (Nhóm trưởng)</c:v>
                </c:pt>
              </c:strCache>
            </c:strRef>
          </c:cat>
          <c:val>
            <c:numRef>
              <c:f>'Năng suất Thành viên'!$F$5:$F$8</c:f>
              <c:numCache>
                <c:formatCode>#,##0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fff524-78b8-442a-948e-dd259388e44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14</xdr:row>
      <xdr:rowOff>0</xdr:rowOff>
    </xdr:from>
    <xdr:ext cx="3960000" cy="2340000"/>
    <xdr:graphicFrame>
      <xdr:nvGraphicFramePr>
        <xdr:cNvPr id="2" name="Chart 1"/>
        <xdr:cNvGraphicFramePr/>
      </xdr:nvGraphicFramePr>
      <xdr:xfrm>
        <a:off x="822960" y="2971800"/>
        <a:ext cx="3959860" cy="233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10</xdr:row>
      <xdr:rowOff>0</xdr:rowOff>
    </xdr:from>
    <xdr:ext cx="5400000" cy="2520000"/>
    <xdr:graphicFrame>
      <xdr:nvGraphicFramePr>
        <xdr:cNvPr id="2" name="Chart 1"/>
        <xdr:cNvGraphicFramePr/>
      </xdr:nvGraphicFramePr>
      <xdr:xfrm>
        <a:off x="822960" y="2072640"/>
        <a:ext cx="53994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198120</xdr:colOff>
      <xdr:row>10</xdr:row>
      <xdr:rowOff>0</xdr:rowOff>
    </xdr:from>
    <xdr:ext cx="4995545" cy="2517140"/>
    <xdr:graphicFrame>
      <xdr:nvGraphicFramePr>
        <xdr:cNvPr id="3" name="Chart 2"/>
        <xdr:cNvGraphicFramePr/>
      </xdr:nvGraphicFramePr>
      <xdr:xfrm>
        <a:off x="6507480" y="2072640"/>
        <a:ext cx="4995545" cy="2517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10</xdr:row>
      <xdr:rowOff>0</xdr:rowOff>
    </xdr:from>
    <xdr:ext cx="5437505" cy="2565400"/>
    <xdr:graphicFrame>
      <xdr:nvGraphicFramePr>
        <xdr:cNvPr id="2" name="Chart 1"/>
        <xdr:cNvGraphicFramePr/>
      </xdr:nvGraphicFramePr>
      <xdr:xfrm>
        <a:off x="822960" y="2082165"/>
        <a:ext cx="5437505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838200</xdr:colOff>
      <xdr:row>9</xdr:row>
      <xdr:rowOff>182880</xdr:rowOff>
    </xdr:from>
    <xdr:ext cx="5254625" cy="2570480"/>
    <xdr:graphicFrame>
      <xdr:nvGraphicFramePr>
        <xdr:cNvPr id="3" name="Chart 2"/>
        <xdr:cNvGraphicFramePr/>
      </xdr:nvGraphicFramePr>
      <xdr:xfrm>
        <a:off x="6530340" y="2072640"/>
        <a:ext cx="5254625" cy="257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7620</xdr:colOff>
      <xdr:row>10</xdr:row>
      <xdr:rowOff>85725</xdr:rowOff>
    </xdr:from>
    <xdr:ext cx="5760000" cy="2709525"/>
    <xdr:graphicFrame>
      <xdr:nvGraphicFramePr>
        <xdr:cNvPr id="2" name="Chart 1"/>
        <xdr:cNvGraphicFramePr/>
      </xdr:nvGraphicFramePr>
      <xdr:xfrm>
        <a:off x="830580" y="2185035"/>
        <a:ext cx="5759450" cy="2708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807720</xdr:colOff>
      <xdr:row>10</xdr:row>
      <xdr:rowOff>83820</xdr:rowOff>
    </xdr:from>
    <xdr:ext cx="5400000" cy="2700000"/>
    <xdr:graphicFrame>
      <xdr:nvGraphicFramePr>
        <xdr:cNvPr id="3" name="Chart 2"/>
        <xdr:cNvGraphicFramePr/>
      </xdr:nvGraphicFramePr>
      <xdr:xfrm>
        <a:off x="6774180" y="218313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3"/>
  <sheetViews>
    <sheetView topLeftCell="A3" workbookViewId="0">
      <selection activeCell="C19" sqref="C19"/>
    </sheetView>
  </sheetViews>
  <sheetFormatPr defaultColWidth="9" defaultRowHeight="14.4" outlineLevelCol="5"/>
  <cols>
    <col min="1" max="1" width="12" customWidth="1"/>
    <col min="2" max="2" width="92" customWidth="1"/>
    <col min="3" max="3" width="22" customWidth="1"/>
    <col min="4" max="4" width="12" customWidth="1"/>
    <col min="5" max="5" width="23" customWidth="1"/>
    <col min="6" max="6" width="12" customWidth="1"/>
  </cols>
  <sheetData>
    <row r="2" ht="24.6" customHeight="1" spans="2:6">
      <c r="B2" s="17" t="s">
        <v>0</v>
      </c>
    </row>
    <row r="3" ht="15" customHeight="1" spans="2:6">
      <c r="B3" s="18" t="s">
        <v>1</v>
      </c>
      <c r="C3" t="s">
        <v>2</v>
      </c>
    </row>
    <row r="5" ht="16.8" customHeight="1" spans="2:6">
      <c r="B5" s="19" t="s">
        <v>3</v>
      </c>
      <c r="C5" s="20" t="s">
        <v>4</v>
      </c>
      <c r="E5" s="19" t="s">
        <v>5</v>
      </c>
      <c r="F5" s="20">
        <v>212</v>
      </c>
    </row>
    <row r="6" ht="16.8" customHeight="1" spans="2:6">
      <c r="B6" s="19" t="s">
        <v>6</v>
      </c>
      <c r="C6" s="20" t="s">
        <v>7</v>
      </c>
      <c r="E6" s="19" t="s">
        <v>8</v>
      </c>
      <c r="F6" s="20">
        <v>212</v>
      </c>
    </row>
    <row r="7" ht="16.8" customHeight="1" spans="2:6">
      <c r="B7" s="19" t="s">
        <v>9</v>
      </c>
      <c r="C7" s="20" t="s">
        <v>10</v>
      </c>
      <c r="E7" s="19" t="s">
        <v>11</v>
      </c>
      <c r="F7" s="21">
        <f>182/212</f>
        <v>0.858490566037736</v>
      </c>
    </row>
    <row r="8" ht="16.8" customHeight="1" spans="2:6">
      <c r="B8" s="19" t="s">
        <v>12</v>
      </c>
      <c r="C8" s="20" t="s">
        <v>13</v>
      </c>
      <c r="E8" s="19" t="s">
        <v>14</v>
      </c>
      <c r="F8" s="20">
        <v>30</v>
      </c>
    </row>
    <row r="10" ht="19.2" customHeight="1" spans="2:6">
      <c r="B10" s="1" t="s">
        <v>15</v>
      </c>
    </row>
    <row r="11" ht="16.8" customHeight="1" spans="2:6">
      <c r="B11" s="2" t="s">
        <v>16</v>
      </c>
      <c r="C11" s="2" t="s">
        <v>17</v>
      </c>
    </row>
    <row r="12" ht="16.8" customHeight="1" spans="2:6">
      <c r="B12" s="6" t="s">
        <v>18</v>
      </c>
      <c r="C12" s="22">
        <v>182</v>
      </c>
    </row>
    <row r="13" ht="16.8" customHeight="1" spans="2:6">
      <c r="B13" s="6" t="s">
        <v>19</v>
      </c>
      <c r="C13" s="22">
        <v>30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9"/>
  <sheetViews>
    <sheetView tabSelected="1" workbookViewId="0">
      <selection activeCell="M16" sqref="M16"/>
    </sheetView>
  </sheetViews>
  <sheetFormatPr defaultColWidth="9" defaultRowHeight="14.4" outlineLevelCol="6"/>
  <cols>
    <col min="1" max="1" width="12" customWidth="1"/>
    <col min="2" max="2" width="46" customWidth="1"/>
    <col min="3" max="3" width="20" customWidth="1"/>
    <col min="4" max="5" width="14" customWidth="1"/>
    <col min="6" max="6" width="13" customWidth="1"/>
    <col min="7" max="7" width="15" customWidth="1"/>
  </cols>
  <sheetData>
    <row r="2" ht="19.2" customHeight="1" spans="2:7">
      <c r="B2" s="1" t="s">
        <v>20</v>
      </c>
    </row>
    <row r="4" ht="16.8" customHeight="1" spans="2:7">
      <c r="B4" s="2" t="s">
        <v>21</v>
      </c>
      <c r="C4" s="2" t="s">
        <v>22</v>
      </c>
      <c r="D4" s="2" t="s">
        <v>18</v>
      </c>
      <c r="E4" s="2" t="s">
        <v>19</v>
      </c>
      <c r="F4" s="2" t="s">
        <v>23</v>
      </c>
      <c r="G4" s="2" t="s">
        <v>24</v>
      </c>
    </row>
    <row r="5" ht="16.8" customHeight="1" spans="2:7">
      <c r="B5" s="6" t="s">
        <v>25</v>
      </c>
      <c r="C5" s="8">
        <v>49</v>
      </c>
      <c r="D5" s="8">
        <v>34</v>
      </c>
      <c r="E5" s="8">
        <v>15</v>
      </c>
      <c r="F5" s="15">
        <f>D5/C5</f>
        <v>0.693877551020408</v>
      </c>
      <c r="G5" s="16" t="str">
        <f>IF(F5&gt;=0.9,"Đạt chất lượng","Cần giám sát thêm")</f>
        <v>Cần giám sát thêm</v>
      </c>
    </row>
    <row r="6" ht="16.8" customHeight="1" spans="2:7">
      <c r="B6" s="6" t="s">
        <v>26</v>
      </c>
      <c r="C6" s="8">
        <v>94</v>
      </c>
      <c r="D6" s="8">
        <v>87</v>
      </c>
      <c r="E6" s="8">
        <v>7</v>
      </c>
      <c r="F6" s="15">
        <f>D6/C6</f>
        <v>0.925531914893617</v>
      </c>
      <c r="G6" s="16" t="str">
        <f>IF(F6&gt;=0.9,"Đạt chất lượng","Cần giám sát thêm")</f>
        <v>Đạt chất lượng</v>
      </c>
    </row>
    <row r="7" ht="16.8" customHeight="1" spans="2:7">
      <c r="B7" s="6" t="s">
        <v>27</v>
      </c>
      <c r="C7" s="8">
        <v>69</v>
      </c>
      <c r="D7" s="8">
        <v>61</v>
      </c>
      <c r="E7" s="8">
        <v>8</v>
      </c>
      <c r="F7" s="15">
        <f>D7/C7</f>
        <v>0.884057971014493</v>
      </c>
      <c r="G7" s="16" t="str">
        <f>IF(F7&gt;=0.9,"Đạt chất lượng","Cần giám sát thêm")</f>
        <v>Cần giám sát thêm</v>
      </c>
    </row>
    <row r="8" ht="16.8" customHeight="1" spans="2:7">
      <c r="B8" s="9" t="s">
        <v>28</v>
      </c>
      <c r="C8" s="9">
        <f>SUM(C5:C7)</f>
        <v>212</v>
      </c>
      <c r="D8" s="9">
        <f>SUM(D5:D7)</f>
        <v>182</v>
      </c>
      <c r="E8" s="9">
        <f>SUM(E5:E7)</f>
        <v>30</v>
      </c>
      <c r="F8" s="14">
        <f>D8/C8</f>
        <v>0.858490566037736</v>
      </c>
      <c r="G8" s="10" t="s">
        <v>29</v>
      </c>
    </row>
    <row r="9" ht="16.8" customHeight="1"/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0"/>
  <sheetViews>
    <sheetView workbookViewId="0">
      <selection activeCell="E28" sqref="E28"/>
    </sheetView>
  </sheetViews>
  <sheetFormatPr defaultColWidth="9" defaultRowHeight="14.4" outlineLevelCol="5"/>
  <cols>
    <col min="1" max="1" width="12" customWidth="1"/>
    <col min="2" max="2" width="58" customWidth="1"/>
    <col min="3" max="3" width="13" customWidth="1"/>
    <col min="4" max="4" width="20" customWidth="1"/>
    <col min="5" max="5" width="17" customWidth="1"/>
    <col min="6" max="6" width="15" customWidth="1"/>
  </cols>
  <sheetData>
    <row r="2" ht="19.2" customHeight="1" spans="2:6">
      <c r="B2" s="1" t="s">
        <v>30</v>
      </c>
    </row>
    <row r="4" ht="16.8" customHeight="1" spans="2:6"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</row>
    <row r="5" ht="16.8" customHeight="1" spans="2:6">
      <c r="B5" s="6" t="s">
        <v>36</v>
      </c>
      <c r="C5" s="8">
        <v>0</v>
      </c>
      <c r="D5" s="8">
        <v>0</v>
      </c>
      <c r="E5" s="8">
        <v>0</v>
      </c>
      <c r="F5" s="15">
        <f>IF(C5=0,1,D5/C5)</f>
        <v>1</v>
      </c>
    </row>
    <row r="6" ht="16.8" customHeight="1" spans="2:6">
      <c r="B6" s="6" t="s">
        <v>37</v>
      </c>
      <c r="C6" s="8">
        <v>6</v>
      </c>
      <c r="D6" s="8">
        <v>0</v>
      </c>
      <c r="E6" s="8">
        <v>6</v>
      </c>
      <c r="F6" s="15">
        <f>IF(C6=0,1,D6/C6)</f>
        <v>0</v>
      </c>
    </row>
    <row r="7" ht="16.8" customHeight="1" spans="2:6">
      <c r="B7" s="6" t="s">
        <v>38</v>
      </c>
      <c r="C7" s="8">
        <v>24</v>
      </c>
      <c r="D7" s="8">
        <v>0</v>
      </c>
      <c r="E7" s="8">
        <v>24</v>
      </c>
      <c r="F7" s="15">
        <f>IF(C7=0,1,D7/C7)</f>
        <v>0</v>
      </c>
    </row>
    <row r="8" ht="16.8" customHeight="1" spans="2:6">
      <c r="B8" s="6" t="s">
        <v>39</v>
      </c>
      <c r="C8" s="8">
        <v>0</v>
      </c>
      <c r="D8" s="8">
        <v>0</v>
      </c>
      <c r="E8" s="8">
        <v>0</v>
      </c>
      <c r="F8" s="15">
        <f>IF(C8=0,1,D8/C8)</f>
        <v>1</v>
      </c>
    </row>
    <row r="9" ht="16.8" customHeight="1" spans="2:6">
      <c r="B9" s="9" t="s">
        <v>28</v>
      </c>
      <c r="C9" s="9">
        <f>SUM(C5:C8)</f>
        <v>30</v>
      </c>
      <c r="D9" s="9">
        <f>SUM(D5:D8)</f>
        <v>0</v>
      </c>
      <c r="E9" s="9">
        <f>SUM(E5:E8)</f>
        <v>30</v>
      </c>
      <c r="F9" s="14">
        <f>IF(C9=0,1,D9/C9)</f>
        <v>0</v>
      </c>
    </row>
    <row r="10" ht="15.15" customHeight="1"/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0"/>
  <sheetViews>
    <sheetView workbookViewId="0">
      <selection activeCell="I25" sqref="I25"/>
    </sheetView>
  </sheetViews>
  <sheetFormatPr defaultColWidth="9" defaultRowHeight="14.4" outlineLevelCol="7"/>
  <cols>
    <col min="1" max="1" width="12" customWidth="1"/>
    <col min="2" max="4" width="25" customWidth="1"/>
    <col min="5" max="5" width="17.5555555555556" customWidth="1"/>
    <col min="6" max="6" width="29.5555555555556" customWidth="1"/>
    <col min="7" max="7" width="25" customWidth="1"/>
    <col min="8" max="8" width="22" customWidth="1"/>
  </cols>
  <sheetData>
    <row r="2" ht="19.2" customHeight="1" spans="2:8">
      <c r="B2" s="1" t="s">
        <v>40</v>
      </c>
    </row>
    <row r="4" ht="16.8" customHeight="1" spans="2:8"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</row>
    <row r="5" ht="16.8" customHeight="1" spans="2:8">
      <c r="B5" s="3" t="s">
        <v>48</v>
      </c>
      <c r="C5" s="8">
        <v>53</v>
      </c>
      <c r="D5" s="8">
        <v>53</v>
      </c>
      <c r="E5" s="8">
        <f>C5-D5</f>
        <v>0</v>
      </c>
      <c r="F5" s="8">
        <v>8</v>
      </c>
      <c r="G5" s="11">
        <f>F5/D5</f>
        <v>0.150943396226415</v>
      </c>
      <c r="H5" s="12">
        <f>D5/C5</f>
        <v>1</v>
      </c>
    </row>
    <row r="6" ht="16.8" customHeight="1" spans="2:8">
      <c r="B6" s="3" t="s">
        <v>49</v>
      </c>
      <c r="C6" s="8">
        <v>53</v>
      </c>
      <c r="D6" s="8">
        <v>53</v>
      </c>
      <c r="E6" s="8">
        <f>C6-D6</f>
        <v>0</v>
      </c>
      <c r="F6" s="8">
        <v>8</v>
      </c>
      <c r="G6" s="11">
        <f>F6/D6</f>
        <v>0.150943396226415</v>
      </c>
      <c r="H6" s="12">
        <f>D6/C6</f>
        <v>1</v>
      </c>
    </row>
    <row r="7" ht="16.8" customHeight="1" spans="2:8">
      <c r="B7" s="3" t="s">
        <v>50</v>
      </c>
      <c r="C7" s="8">
        <v>53</v>
      </c>
      <c r="D7" s="8">
        <v>53</v>
      </c>
      <c r="E7" s="8">
        <f>C7-D7</f>
        <v>0</v>
      </c>
      <c r="F7" s="8">
        <v>7</v>
      </c>
      <c r="G7" s="11">
        <f>F7/D7</f>
        <v>0.132075471698113</v>
      </c>
      <c r="H7" s="12">
        <f>D7/C7</f>
        <v>1</v>
      </c>
    </row>
    <row r="8" ht="17.4" customHeight="1" spans="2:8">
      <c r="B8" s="3" t="s">
        <v>7</v>
      </c>
      <c r="C8" s="8">
        <v>53</v>
      </c>
      <c r="D8" s="8">
        <v>53</v>
      </c>
      <c r="E8" s="8">
        <f>C8-D8</f>
        <v>0</v>
      </c>
      <c r="F8" s="8">
        <v>7</v>
      </c>
      <c r="G8" s="11">
        <f>F8/D8</f>
        <v>0.132075471698113</v>
      </c>
      <c r="H8" s="12">
        <f>D8/C8</f>
        <v>1</v>
      </c>
    </row>
    <row r="9" ht="17.55" customHeight="1" spans="2:8">
      <c r="B9" s="9" t="s">
        <v>51</v>
      </c>
      <c r="C9" s="9">
        <f>SUM(C5:C8)</f>
        <v>212</v>
      </c>
      <c r="D9" s="9">
        <f>SUM(D5:D8)</f>
        <v>212</v>
      </c>
      <c r="E9" s="9">
        <f>SUM(E5:E8)</f>
        <v>0</v>
      </c>
      <c r="F9" s="9">
        <f>SUM(F5:F8)</f>
        <v>30</v>
      </c>
      <c r="G9" s="13">
        <f>F9/D9</f>
        <v>0.141509433962264</v>
      </c>
      <c r="H9" s="14">
        <f>D9/C9</f>
        <v>1</v>
      </c>
    </row>
    <row r="10" ht="15.15" customHeight="1"/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D12" sqref="D12"/>
    </sheetView>
  </sheetViews>
  <sheetFormatPr defaultColWidth="9" defaultRowHeight="14.4" outlineLevelRow="7" outlineLevelCol="5"/>
  <cols>
    <col min="1" max="1" width="12" customWidth="1"/>
    <col min="2" max="2" width="41" customWidth="1"/>
    <col min="3" max="3" width="12" customWidth="1"/>
    <col min="4" max="4" width="18" customWidth="1"/>
    <col min="5" max="5" width="45" customWidth="1"/>
    <col min="6" max="6" width="32" customWidth="1"/>
  </cols>
  <sheetData>
    <row r="2" ht="19.2" customHeight="1" spans="2:6">
      <c r="B2" s="1" t="s">
        <v>52</v>
      </c>
    </row>
    <row r="4" ht="16.8" customHeight="1" spans="2:6">
      <c r="D4" s="2" t="s">
        <v>53</v>
      </c>
      <c r="E4" s="2" t="s">
        <v>54</v>
      </c>
      <c r="F4" s="2" t="s">
        <v>55</v>
      </c>
    </row>
    <row r="5" ht="16.8" customHeight="1" spans="2:6">
      <c r="B5" s="6" t="s">
        <v>56</v>
      </c>
      <c r="C5" s="8">
        <v>1</v>
      </c>
      <c r="D5" s="8">
        <v>8</v>
      </c>
      <c r="E5" s="6" t="s">
        <v>57</v>
      </c>
    </row>
    <row r="6" ht="16.8" customHeight="1" spans="2:6">
      <c r="B6" s="6" t="s">
        <v>58</v>
      </c>
      <c r="C6" s="8">
        <v>3</v>
      </c>
      <c r="D6" s="8">
        <v>24</v>
      </c>
      <c r="E6" s="6" t="s">
        <v>59</v>
      </c>
    </row>
    <row r="7" ht="16.8" customHeight="1" spans="2:6">
      <c r="B7" s="9" t="s">
        <v>60</v>
      </c>
      <c r="C7" s="9">
        <f>SUM(C5:C6)</f>
        <v>4</v>
      </c>
      <c r="D7" s="9">
        <f>SUM(D5:D6)</f>
        <v>32</v>
      </c>
      <c r="E7" s="10"/>
    </row>
    <row r="8" ht="16.8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7"/>
  <sheetViews>
    <sheetView workbookViewId="0">
      <selection activeCell="C7" sqref="C7"/>
    </sheetView>
  </sheetViews>
  <sheetFormatPr defaultColWidth="9" defaultRowHeight="14.4" outlineLevelRow="6" outlineLevelCol="3"/>
  <cols>
    <col min="1" max="1" width="45" customWidth="1"/>
    <col min="2" max="2" width="36.4444444444444" customWidth="1"/>
    <col min="3" max="3" width="38" customWidth="1"/>
    <col min="4" max="4" width="33" customWidth="1"/>
  </cols>
  <sheetData>
    <row r="2" ht="19.2" customHeight="1" spans="1:4">
      <c r="A2" s="1" t="s">
        <v>61</v>
      </c>
    </row>
    <row r="4" ht="16.8" customHeight="1" spans="1:4">
      <c r="A4" s="7" t="s">
        <v>62</v>
      </c>
      <c r="B4" s="7" t="s">
        <v>63</v>
      </c>
      <c r="C4" s="7" t="s">
        <v>64</v>
      </c>
      <c r="D4" s="7" t="s">
        <v>65</v>
      </c>
    </row>
    <row r="5" ht="16.8" customHeight="1" spans="1:4">
      <c r="A5" s="3" t="s">
        <v>66</v>
      </c>
      <c r="B5" s="6" t="s">
        <v>67</v>
      </c>
      <c r="C5" s="6" t="s">
        <v>68</v>
      </c>
      <c r="D5" s="6" t="s">
        <v>69</v>
      </c>
    </row>
    <row r="6" ht="16.8" customHeight="1" spans="1:4">
      <c r="A6" s="3" t="s">
        <v>70</v>
      </c>
      <c r="B6" s="6" t="s">
        <v>71</v>
      </c>
      <c r="C6" s="6" t="s">
        <v>72</v>
      </c>
      <c r="D6" s="6" t="s">
        <v>73</v>
      </c>
    </row>
    <row r="7" ht="16.8" customHeight="1" spans="1:4">
      <c r="A7" s="3" t="s">
        <v>74</v>
      </c>
      <c r="B7" s="6" t="s">
        <v>75</v>
      </c>
      <c r="C7" s="6" t="s">
        <v>76</v>
      </c>
      <c r="D7" s="6" t="s">
        <v>77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B3" sqref="B3"/>
    </sheetView>
  </sheetViews>
  <sheetFormatPr defaultColWidth="9" defaultRowHeight="14.4" outlineLevelRow="7" outlineLevelCol="5"/>
  <cols>
    <col min="1" max="1" width="12" customWidth="1"/>
    <col min="2" max="2" width="68.1111111111111" customWidth="1"/>
    <col min="3" max="3" width="24.3333333333333" customWidth="1"/>
    <col min="4" max="4" width="25" customWidth="1"/>
    <col min="5" max="6" width="32" customWidth="1"/>
  </cols>
  <sheetData>
    <row r="2" ht="19.2" customHeight="1" spans="2:6">
      <c r="B2" s="1" t="s">
        <v>78</v>
      </c>
    </row>
    <row r="4" ht="16.8" customHeight="1" spans="2:6"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</row>
    <row r="5" ht="16.8" customHeight="1" spans="2:6">
      <c r="B5" s="3" t="s">
        <v>84</v>
      </c>
      <c r="C5" s="4" t="s">
        <v>85</v>
      </c>
      <c r="D5" s="4" t="s">
        <v>86</v>
      </c>
      <c r="E5" s="5" t="s">
        <v>87</v>
      </c>
      <c r="F5" s="6" t="s">
        <v>88</v>
      </c>
    </row>
    <row r="6" ht="16.8" customHeight="1" spans="2:6">
      <c r="B6" s="3" t="s">
        <v>89</v>
      </c>
      <c r="C6" s="4" t="s">
        <v>90</v>
      </c>
      <c r="D6" s="5" t="s">
        <v>91</v>
      </c>
      <c r="E6" s="4" t="s">
        <v>92</v>
      </c>
      <c r="F6" s="6" t="s">
        <v>93</v>
      </c>
    </row>
    <row r="7" ht="16.8" customHeight="1" spans="2:6">
      <c r="B7" s="3" t="s">
        <v>94</v>
      </c>
      <c r="C7" s="4" t="s">
        <v>95</v>
      </c>
      <c r="D7" s="4" t="s">
        <v>96</v>
      </c>
      <c r="E7" s="4" t="s">
        <v>97</v>
      </c>
      <c r="F7" s="6" t="s">
        <v>98</v>
      </c>
    </row>
    <row r="8" ht="16.8" customHeight="1" spans="2:6">
      <c r="B8" s="3" t="s">
        <v>99</v>
      </c>
      <c r="C8" s="4" t="s">
        <v>100</v>
      </c>
      <c r="D8" s="5" t="s">
        <v>101</v>
      </c>
      <c r="E8" s="4" t="s">
        <v>102</v>
      </c>
      <c r="F8" s="6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Tổng quan Dashboard</vt:lpstr>
      <vt:lpstr>Độ bao phủ tính năng</vt:lpstr>
      <vt:lpstr>Phân tích lỗi (Bugs)</vt:lpstr>
      <vt:lpstr>Năng suất Thành viên</vt:lpstr>
      <vt:lpstr>Nhân lực</vt:lpstr>
      <vt:lpstr>Tài nguyên</vt:lpstr>
      <vt:lpstr>Đánh giá hiệu quả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Hướng Trần Xuân</cp:lastModifiedBy>
  <dcterms:created xsi:type="dcterms:W3CDTF">2026-06-03T17:54:00Z</dcterms:created>
  <dcterms:modified xsi:type="dcterms:W3CDTF">2026-06-13T11:22:00Z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F24E396A16554B829CFD5B0D92BAADE6_12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